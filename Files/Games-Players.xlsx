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GitHub\UFMG\Disciplinas\DCC831-TECC_Teoria_dos_Jogos_em_Computacao-TP\Files\"/>
    </mc:Choice>
  </mc:AlternateContent>
  <xr:revisionPtr revIDLastSave="0" documentId="13_ncr:1_{FAA7610C-AD10-4301-8610-699495AE638A}" xr6:coauthVersionLast="47" xr6:coauthVersionMax="47" xr10:uidLastSave="{00000000-0000-0000-0000-000000000000}"/>
  <bookViews>
    <workbookView xWindow="-108" yWindow="-108" windowWidth="23256" windowHeight="12456" xr2:uid="{8D6F93C0-AB8C-4D59-B58C-E3088606DB31}"/>
  </bookViews>
  <sheets>
    <sheet name="Games" sheetId="1" r:id="rId1"/>
    <sheet name="Play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9" i="1" l="1"/>
  <c r="H99" i="1"/>
  <c r="G99" i="1"/>
  <c r="I98" i="1"/>
  <c r="H98" i="1"/>
  <c r="G98" i="1"/>
  <c r="I97" i="1"/>
  <c r="H97" i="1"/>
  <c r="I91" i="1"/>
  <c r="H91" i="1"/>
  <c r="G91" i="1"/>
  <c r="I90" i="1"/>
  <c r="H90" i="1"/>
  <c r="G90" i="1"/>
  <c r="I89" i="1"/>
  <c r="H89" i="1"/>
  <c r="J83" i="1"/>
  <c r="I83" i="1"/>
  <c r="H83" i="1"/>
  <c r="G83" i="1"/>
  <c r="J82" i="1"/>
  <c r="I82" i="1"/>
  <c r="H82" i="1"/>
  <c r="G82" i="1"/>
  <c r="J81" i="1"/>
  <c r="I81" i="1"/>
  <c r="H81" i="1"/>
  <c r="G81" i="1"/>
  <c r="J80" i="1"/>
  <c r="I80" i="1"/>
  <c r="H80" i="1"/>
  <c r="I74" i="1"/>
  <c r="H74" i="1"/>
  <c r="G74" i="1"/>
  <c r="I73" i="1"/>
  <c r="H73" i="1"/>
  <c r="G73" i="1"/>
  <c r="I72" i="1"/>
  <c r="H72" i="1"/>
  <c r="I66" i="1"/>
  <c r="H66" i="1"/>
  <c r="G66" i="1"/>
  <c r="I65" i="1"/>
  <c r="H65" i="1"/>
  <c r="G65" i="1"/>
  <c r="I64" i="1"/>
  <c r="H64" i="1"/>
  <c r="I58" i="1"/>
  <c r="H58" i="1"/>
  <c r="G58" i="1"/>
  <c r="I57" i="1"/>
  <c r="H57" i="1"/>
  <c r="G57" i="1"/>
  <c r="I56" i="1"/>
  <c r="H56" i="1"/>
  <c r="I50" i="1"/>
  <c r="H50" i="1"/>
  <c r="G50" i="1"/>
  <c r="I49" i="1"/>
  <c r="H49" i="1"/>
  <c r="G49" i="1"/>
  <c r="I48" i="1"/>
  <c r="H48" i="1"/>
  <c r="I40" i="1"/>
  <c r="J40" i="1"/>
  <c r="I41" i="1"/>
  <c r="J41" i="1"/>
  <c r="I42" i="1"/>
  <c r="J42" i="1"/>
  <c r="H41" i="1"/>
  <c r="H42" i="1"/>
  <c r="H40" i="1"/>
  <c r="J39" i="1"/>
  <c r="H39" i="1"/>
  <c r="G42" i="1"/>
  <c r="G41" i="1"/>
  <c r="G40" i="1"/>
  <c r="I39" i="1"/>
  <c r="I33" i="1"/>
  <c r="H33" i="1"/>
  <c r="G33" i="1"/>
  <c r="I32" i="1"/>
  <c r="H32" i="1"/>
  <c r="G32" i="1"/>
  <c r="I31" i="1"/>
  <c r="H31" i="1"/>
  <c r="I25" i="1"/>
  <c r="H25" i="1"/>
  <c r="G25" i="1"/>
  <c r="I24" i="1"/>
  <c r="H24" i="1"/>
  <c r="G24" i="1"/>
  <c r="I23" i="1"/>
  <c r="H23" i="1"/>
  <c r="I17" i="1"/>
  <c r="H17" i="1"/>
  <c r="G17" i="1"/>
  <c r="I16" i="1"/>
  <c r="H16" i="1"/>
  <c r="G16" i="1"/>
  <c r="I15" i="1"/>
  <c r="H15" i="1"/>
  <c r="H7" i="1"/>
  <c r="I7" i="1"/>
  <c r="G9" i="1"/>
  <c r="G8" i="1"/>
  <c r="I9" i="1"/>
  <c r="I8" i="1"/>
  <c r="H9" i="1"/>
  <c r="H8" i="1"/>
</calcChain>
</file>

<file path=xl/sharedStrings.xml><?xml version="1.0" encoding="utf-8"?>
<sst xmlns="http://schemas.openxmlformats.org/spreadsheetml/2006/main" count="197" uniqueCount="112">
  <si>
    <t>Class 7: Introduction to Noncooperative Games in Normal Form</t>
  </si>
  <si>
    <t>N</t>
  </si>
  <si>
    <t>A</t>
  </si>
  <si>
    <t>90, 90</t>
  </si>
  <si>
    <t>86, 92</t>
  </si>
  <si>
    <t>92, 86</t>
  </si>
  <si>
    <t>88, 88</t>
  </si>
  <si>
    <t>u 
(Payoff Matrix)</t>
  </si>
  <si>
    <t>You</t>
  </si>
  <si>
    <t>Your Partner</t>
  </si>
  <si>
    <t>Presentation</t>
  </si>
  <si>
    <t>Exam</t>
  </si>
  <si>
    <t>Game 1 - Exam or Presentation?</t>
  </si>
  <si>
    <t>Game 2 - Prisoner's Dilemma</t>
  </si>
  <si>
    <t>Suspect 1</t>
  </si>
  <si>
    <t>Suspect 2</t>
  </si>
  <si>
    <t>NC</t>
  </si>
  <si>
    <t>C</t>
  </si>
  <si>
    <t>-10, 0</t>
  </si>
  <si>
    <t>0, -10</t>
  </si>
  <si>
    <t>-4, -4</t>
  </si>
  <si>
    <t>-1, -1</t>
  </si>
  <si>
    <t>Game 3 - Unbalanced Coordination Game</t>
  </si>
  <si>
    <t>Keynote</t>
  </si>
  <si>
    <t>PowerPoint</t>
  </si>
  <si>
    <t>1, 1</t>
  </si>
  <si>
    <t>0, 0</t>
  </si>
  <si>
    <t>2, 2</t>
  </si>
  <si>
    <t>Game 4 - Matching Pennies</t>
  </si>
  <si>
    <t>P1</t>
  </si>
  <si>
    <t>P2</t>
  </si>
  <si>
    <t>Heads</t>
  </si>
  <si>
    <t>Tails</t>
  </si>
  <si>
    <t>-1, 1</t>
  </si>
  <si>
    <t>1, -1</t>
  </si>
  <si>
    <t>Game 5 - Rock, paper, scissors</t>
  </si>
  <si>
    <t>Rock</t>
  </si>
  <si>
    <t>Paper</t>
  </si>
  <si>
    <t>Scissors</t>
  </si>
  <si>
    <t>Game 6 - Battle of the sexes</t>
  </si>
  <si>
    <t>Wife</t>
  </si>
  <si>
    <t>Husband</t>
  </si>
  <si>
    <t>LW</t>
  </si>
  <si>
    <t>WL</t>
  </si>
  <si>
    <t>2, 1</t>
  </si>
  <si>
    <t>1, 2</t>
  </si>
  <si>
    <t>Game 7 - Stag Hunt</t>
  </si>
  <si>
    <t>Hunter 1</t>
  </si>
  <si>
    <t>Hunter 2</t>
  </si>
  <si>
    <t>Stag</t>
  </si>
  <si>
    <t>Hare</t>
  </si>
  <si>
    <t>4, 4</t>
  </si>
  <si>
    <t>0, 3</t>
  </si>
  <si>
    <t>3, 0</t>
  </si>
  <si>
    <t>3, 3</t>
  </si>
  <si>
    <t>Game 7 - Fun Game</t>
  </si>
  <si>
    <t>T</t>
  </si>
  <si>
    <t>B</t>
  </si>
  <si>
    <t>L</t>
  </si>
  <si>
    <t>R</t>
  </si>
  <si>
    <t>320, 40</t>
  </si>
  <si>
    <t>40, 80</t>
  </si>
  <si>
    <t>80, 40</t>
  </si>
  <si>
    <t>Game 8 - Another game to be played</t>
  </si>
  <si>
    <t>Firm 1</t>
  </si>
  <si>
    <t>Firm 2</t>
  </si>
  <si>
    <t>Low-Priced</t>
  </si>
  <si>
    <t>Upscale</t>
  </si>
  <si>
    <t>0.48, 0.12</t>
  </si>
  <si>
    <t>0.60, 0.40</t>
  </si>
  <si>
    <t>0.40, 0.60</t>
  </si>
  <si>
    <t>0.32, 0.08</t>
  </si>
  <si>
    <t>Game 9 - Another solution concept...</t>
  </si>
  <si>
    <t>U</t>
  </si>
  <si>
    <t>M</t>
  </si>
  <si>
    <t>3, 1</t>
  </si>
  <si>
    <t>1, 5</t>
  </si>
  <si>
    <t>10, 0</t>
  </si>
  <si>
    <t>0, 0.5</t>
  </si>
  <si>
    <t>4, 2</t>
  </si>
  <si>
    <t>5, 0</t>
  </si>
  <si>
    <t>Game 10 - Hawk-Dove</t>
  </si>
  <si>
    <t>Animal 1</t>
  </si>
  <si>
    <t>Animal 2</t>
  </si>
  <si>
    <t>D</t>
  </si>
  <si>
    <t>H</t>
  </si>
  <si>
    <t>5, 1</t>
  </si>
  <si>
    <t>Game 11 - Traveler's Dilemma</t>
  </si>
  <si>
    <t>Aluno</t>
  </si>
  <si>
    <t>Participação</t>
  </si>
  <si>
    <t>Game Points</t>
  </si>
  <si>
    <t>Raphael Aroldo Carreiro Mendes</t>
  </si>
  <si>
    <t>Leonardo Augusto Costa e Silva Oliveira</t>
  </si>
  <si>
    <t>Rangel Avila Barroso</t>
  </si>
  <si>
    <t>Haniel Botelho Ribeiro</t>
  </si>
  <si>
    <t>Leonardo Caetano Gomide</t>
  </si>
  <si>
    <t>Antonio Caetano Neves Neto</t>
  </si>
  <si>
    <t>Luciana Caroline Saraiva Bispo</t>
  </si>
  <si>
    <t>Lucca Carvalho Augusto</t>
  </si>
  <si>
    <t>Lorenzo dos Santos Correa</t>
  </si>
  <si>
    <t>Matheus Farnese Lacerda Senna</t>
  </si>
  <si>
    <t>Rodrigo Franklin Marques Silva</t>
  </si>
  <si>
    <t>Matheus Freitas Martins</t>
  </si>
  <si>
    <t>Mariana Lana Sales</t>
  </si>
  <si>
    <t>Henrique Magalhaes de Oliveira Carvalho</t>
  </si>
  <si>
    <t>Thiago Martins Lima Assis</t>
  </si>
  <si>
    <t>Laila Melo Vaz Lopes</t>
  </si>
  <si>
    <t>Pedro Olmo Stancioli Vaz de Melo</t>
  </si>
  <si>
    <t>Thiago Rodrigues da Silva</t>
  </si>
  <si>
    <t>Francisco Rosendo Martins de Andrade</t>
  </si>
  <si>
    <t>Caio Vinícius Raposo Ribeiro</t>
  </si>
  <si>
    <t>João Vítor Fernandes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</si>
</sst>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0" xfId="0" applyFont="1" applyFill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503976-8783-434C-A434-BDD59724435B}" name="Tabela1" displayName="Tabela1" ref="A1:C22" totalsRowShown="0">
  <autoFilter ref="A1:C22" xr:uid="{C9503976-8783-434C-A434-BDD59724435B}"/>
  <tableColumns count="3">
    <tableColumn id="1" xr3:uid="{7CC1B662-B74F-4B23-A37C-F8EBBFF7C343}" name="Aluno"/>
    <tableColumn id="2" xr3:uid="{6E264878-C106-4D50-A56A-FA26DBF8A0B1}" name="Participação"/>
    <tableColumn id="3" xr3:uid="{E69795D4-3C79-409D-ACD5-A77A2B92468F}" name="Game Point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51F5-1EC8-447E-A8B2-D9F89E9F4E15}">
  <dimension ref="A1:K101"/>
  <sheetViews>
    <sheetView tabSelected="1" workbookViewId="0">
      <selection activeCell="E11" sqref="E11"/>
    </sheetView>
  </sheetViews>
  <sheetFormatPr defaultColWidth="0" defaultRowHeight="14.4" zeroHeight="1" x14ac:dyDescent="0.3"/>
  <cols>
    <col min="1" max="1" width="3.109375" style="1" customWidth="1"/>
    <col min="2" max="2" width="14.109375" style="1" bestFit="1" customWidth="1"/>
    <col min="3" max="3" width="12.109375" style="1" bestFit="1" customWidth="1"/>
    <col min="4" max="4" width="9" style="1" bestFit="1" customWidth="1"/>
    <col min="5" max="5" width="7.6640625" style="1" bestFit="1" customWidth="1"/>
    <col min="6" max="6" width="2.44140625" style="1" customWidth="1"/>
    <col min="7" max="7" width="17.109375" style="1" bestFit="1" customWidth="1"/>
    <col min="8" max="8" width="24.33203125" style="1" bestFit="1" customWidth="1"/>
    <col min="9" max="9" width="20.21875" style="1" bestFit="1" customWidth="1"/>
    <col min="10" max="10" width="10.6640625" style="1" bestFit="1" customWidth="1"/>
    <col min="11" max="11" width="8.88671875" style="1" customWidth="1"/>
    <col min="12" max="16384" width="8.88671875" style="1" hidden="1"/>
  </cols>
  <sheetData>
    <row r="1" spans="2:9" x14ac:dyDescent="0.3"/>
    <row r="2" spans="2:9" x14ac:dyDescent="0.3">
      <c r="E2" s="4" t="s">
        <v>0</v>
      </c>
    </row>
    <row r="3" spans="2:9" x14ac:dyDescent="0.3">
      <c r="B3" s="11" t="s">
        <v>12</v>
      </c>
      <c r="C3" s="11"/>
      <c r="D3" s="11"/>
    </row>
    <row r="4" spans="2:9" x14ac:dyDescent="0.3">
      <c r="B4" s="12" t="s">
        <v>1</v>
      </c>
      <c r="C4" s="14" t="s">
        <v>8</v>
      </c>
      <c r="D4" s="15"/>
      <c r="F4" s="3"/>
    </row>
    <row r="5" spans="2:9" x14ac:dyDescent="0.3">
      <c r="B5" s="13"/>
      <c r="C5" s="14" t="s">
        <v>9</v>
      </c>
      <c r="D5" s="15"/>
      <c r="F5" s="3"/>
    </row>
    <row r="6" spans="2:9" x14ac:dyDescent="0.3">
      <c r="B6" s="12" t="s">
        <v>2</v>
      </c>
      <c r="C6" s="5" t="s">
        <v>10</v>
      </c>
      <c r="D6" s="5" t="s">
        <v>11</v>
      </c>
      <c r="F6" s="3"/>
      <c r="G6" s="2"/>
      <c r="H6" s="2"/>
      <c r="I6" s="2"/>
    </row>
    <row r="7" spans="2:9" x14ac:dyDescent="0.3">
      <c r="B7" s="13"/>
      <c r="C7" s="5" t="s">
        <v>10</v>
      </c>
      <c r="D7" s="5" t="s">
        <v>11</v>
      </c>
      <c r="F7" s="3"/>
      <c r="G7" s="2"/>
      <c r="H7" s="9" t="str">
        <f>CONCATENATE(C5,": ",C7)</f>
        <v>Your Partner: Presentation</v>
      </c>
      <c r="I7" s="9" t="str">
        <f>CONCATENATE(C5,": ",D7)</f>
        <v>Your Partner: Exam</v>
      </c>
    </row>
    <row r="8" spans="2:9" x14ac:dyDescent="0.3">
      <c r="B8" s="16" t="s">
        <v>7</v>
      </c>
      <c r="C8" s="6" t="s">
        <v>3</v>
      </c>
      <c r="D8" s="6" t="s">
        <v>4</v>
      </c>
      <c r="F8" s="3"/>
      <c r="G8" s="9" t="str">
        <f>CONCATENATE(C4,": ",C6)</f>
        <v>You: Presentation</v>
      </c>
      <c r="H8" s="8" t="str">
        <f>C8</f>
        <v>90, 90</v>
      </c>
      <c r="I8" s="8" t="str">
        <f>D8</f>
        <v>86, 92</v>
      </c>
    </row>
    <row r="9" spans="2:9" x14ac:dyDescent="0.3">
      <c r="B9" s="17"/>
      <c r="C9" s="6" t="s">
        <v>5</v>
      </c>
      <c r="D9" s="6" t="s">
        <v>6</v>
      </c>
      <c r="F9" s="3"/>
      <c r="G9" s="9" t="str">
        <f>CONCATENATE(C4,": ",D6)</f>
        <v>You: Exam</v>
      </c>
      <c r="H9" s="8" t="str">
        <f>C9</f>
        <v>92, 86</v>
      </c>
      <c r="I9" s="8" t="str">
        <f>D9</f>
        <v>88, 88</v>
      </c>
    </row>
    <row r="10" spans="2:9" x14ac:dyDescent="0.3"/>
    <row r="11" spans="2:9" x14ac:dyDescent="0.3">
      <c r="B11" s="11" t="s">
        <v>13</v>
      </c>
      <c r="C11" s="11"/>
      <c r="D11" s="11"/>
    </row>
    <row r="12" spans="2:9" x14ac:dyDescent="0.3">
      <c r="B12" s="12" t="s">
        <v>1</v>
      </c>
      <c r="C12" s="14" t="s">
        <v>14</v>
      </c>
      <c r="D12" s="15"/>
      <c r="F12" s="3"/>
    </row>
    <row r="13" spans="2:9" x14ac:dyDescent="0.3">
      <c r="B13" s="13"/>
      <c r="C13" s="14" t="s">
        <v>15</v>
      </c>
      <c r="D13" s="15"/>
      <c r="F13" s="3"/>
    </row>
    <row r="14" spans="2:9" x14ac:dyDescent="0.3">
      <c r="B14" s="12" t="s">
        <v>2</v>
      </c>
      <c r="C14" s="5" t="s">
        <v>16</v>
      </c>
      <c r="D14" s="5" t="s">
        <v>17</v>
      </c>
      <c r="F14" s="3"/>
      <c r="G14" s="2"/>
      <c r="H14" s="2"/>
      <c r="I14" s="2"/>
    </row>
    <row r="15" spans="2:9" x14ac:dyDescent="0.3">
      <c r="B15" s="13"/>
      <c r="C15" s="5" t="s">
        <v>16</v>
      </c>
      <c r="D15" s="5" t="s">
        <v>17</v>
      </c>
      <c r="F15" s="3"/>
      <c r="G15" s="2"/>
      <c r="H15" s="9" t="str">
        <f>CONCATENATE(C13,": ",C15)</f>
        <v>Suspect 2: NC</v>
      </c>
      <c r="I15" s="9" t="str">
        <f>CONCATENATE(C13,": ",D15)</f>
        <v>Suspect 2: C</v>
      </c>
    </row>
    <row r="16" spans="2:9" x14ac:dyDescent="0.3">
      <c r="B16" s="16" t="s">
        <v>7</v>
      </c>
      <c r="C16" s="7" t="s">
        <v>21</v>
      </c>
      <c r="D16" s="7" t="s">
        <v>18</v>
      </c>
      <c r="F16" s="3"/>
      <c r="G16" s="9" t="str">
        <f>CONCATENATE(C12,": ",C14)</f>
        <v>Suspect 1: NC</v>
      </c>
      <c r="H16" s="8" t="str">
        <f>C16</f>
        <v>-1, -1</v>
      </c>
      <c r="I16" s="8" t="str">
        <f>D16</f>
        <v>-10, 0</v>
      </c>
    </row>
    <row r="17" spans="2:9" x14ac:dyDescent="0.3">
      <c r="B17" s="17"/>
      <c r="C17" s="7" t="s">
        <v>19</v>
      </c>
      <c r="D17" s="7" t="s">
        <v>20</v>
      </c>
      <c r="F17" s="3"/>
      <c r="G17" s="9" t="str">
        <f>CONCATENATE(C12,": ",D14)</f>
        <v>Suspect 1: C</v>
      </c>
      <c r="H17" s="8" t="str">
        <f>C17</f>
        <v>0, -10</v>
      </c>
      <c r="I17" s="8" t="str">
        <f>D17</f>
        <v>-4, -4</v>
      </c>
    </row>
    <row r="18" spans="2:9" x14ac:dyDescent="0.3"/>
    <row r="19" spans="2:9" x14ac:dyDescent="0.3">
      <c r="B19" s="11" t="s">
        <v>22</v>
      </c>
      <c r="C19" s="11"/>
      <c r="D19" s="11"/>
    </row>
    <row r="20" spans="2:9" x14ac:dyDescent="0.3">
      <c r="B20" s="12" t="s">
        <v>1</v>
      </c>
      <c r="C20" s="14" t="s">
        <v>8</v>
      </c>
      <c r="D20" s="15"/>
      <c r="F20" s="3"/>
    </row>
    <row r="21" spans="2:9" x14ac:dyDescent="0.3">
      <c r="B21" s="13"/>
      <c r="C21" s="14" t="s">
        <v>9</v>
      </c>
      <c r="D21" s="15"/>
      <c r="F21" s="3"/>
    </row>
    <row r="22" spans="2:9" x14ac:dyDescent="0.3">
      <c r="B22" s="12" t="s">
        <v>2</v>
      </c>
      <c r="C22" s="5" t="s">
        <v>24</v>
      </c>
      <c r="D22" s="5" t="s">
        <v>23</v>
      </c>
      <c r="F22" s="3"/>
      <c r="G22" s="2"/>
      <c r="H22" s="2"/>
      <c r="I22" s="2"/>
    </row>
    <row r="23" spans="2:9" x14ac:dyDescent="0.3">
      <c r="B23" s="13"/>
      <c r="C23" s="5" t="s">
        <v>24</v>
      </c>
      <c r="D23" s="5" t="s">
        <v>23</v>
      </c>
      <c r="F23" s="3"/>
      <c r="G23" s="10"/>
      <c r="H23" s="9" t="str">
        <f>CONCATENATE(C21,": ",C23)</f>
        <v>Your Partner: PowerPoint</v>
      </c>
      <c r="I23" s="9" t="str">
        <f>CONCATENATE(C21,": ",D23)</f>
        <v>Your Partner: Keynote</v>
      </c>
    </row>
    <row r="24" spans="2:9" x14ac:dyDescent="0.3">
      <c r="B24" s="16" t="s">
        <v>7</v>
      </c>
      <c r="C24" s="7" t="s">
        <v>25</v>
      </c>
      <c r="D24" s="7" t="s">
        <v>26</v>
      </c>
      <c r="F24" s="3"/>
      <c r="G24" s="9" t="str">
        <f>CONCATENATE(C20,": ",C22)</f>
        <v>You: PowerPoint</v>
      </c>
      <c r="H24" s="8" t="str">
        <f>C24</f>
        <v>1, 1</v>
      </c>
      <c r="I24" s="8" t="str">
        <f>D24</f>
        <v>0, 0</v>
      </c>
    </row>
    <row r="25" spans="2:9" x14ac:dyDescent="0.3">
      <c r="B25" s="17"/>
      <c r="C25" s="7" t="s">
        <v>26</v>
      </c>
      <c r="D25" s="7" t="s">
        <v>27</v>
      </c>
      <c r="F25" s="3"/>
      <c r="G25" s="9" t="str">
        <f>CONCATENATE(C20,": ",D22)</f>
        <v>You: Keynote</v>
      </c>
      <c r="H25" s="8" t="str">
        <f>C25</f>
        <v>0, 0</v>
      </c>
      <c r="I25" s="8" t="str">
        <f>D25</f>
        <v>2, 2</v>
      </c>
    </row>
    <row r="26" spans="2:9" x14ac:dyDescent="0.3"/>
    <row r="27" spans="2:9" x14ac:dyDescent="0.3">
      <c r="B27" s="11" t="s">
        <v>28</v>
      </c>
      <c r="C27" s="11"/>
      <c r="D27" s="11"/>
    </row>
    <row r="28" spans="2:9" x14ac:dyDescent="0.3">
      <c r="B28" s="12" t="s">
        <v>1</v>
      </c>
      <c r="C28" s="14" t="s">
        <v>29</v>
      </c>
      <c r="D28" s="15"/>
      <c r="F28" s="3"/>
    </row>
    <row r="29" spans="2:9" x14ac:dyDescent="0.3">
      <c r="B29" s="13"/>
      <c r="C29" s="14" t="s">
        <v>30</v>
      </c>
      <c r="D29" s="15"/>
      <c r="F29" s="3"/>
    </row>
    <row r="30" spans="2:9" x14ac:dyDescent="0.3">
      <c r="B30" s="12" t="s">
        <v>2</v>
      </c>
      <c r="C30" s="5" t="s">
        <v>31</v>
      </c>
      <c r="D30" s="5" t="s">
        <v>32</v>
      </c>
      <c r="F30" s="3"/>
      <c r="G30" s="2"/>
      <c r="H30" s="2"/>
      <c r="I30" s="2"/>
    </row>
    <row r="31" spans="2:9" x14ac:dyDescent="0.3">
      <c r="B31" s="13"/>
      <c r="C31" s="5" t="s">
        <v>31</v>
      </c>
      <c r="D31" s="5" t="s">
        <v>32</v>
      </c>
      <c r="F31" s="3"/>
      <c r="G31" s="2"/>
      <c r="H31" s="9" t="str">
        <f>CONCATENATE(C29,": ",C31)</f>
        <v>P2: Heads</v>
      </c>
      <c r="I31" s="9" t="str">
        <f>CONCATENATE(C29,": ",D31)</f>
        <v>P2: Tails</v>
      </c>
    </row>
    <row r="32" spans="2:9" x14ac:dyDescent="0.3">
      <c r="B32" s="16" t="s">
        <v>7</v>
      </c>
      <c r="C32" s="7" t="s">
        <v>34</v>
      </c>
      <c r="D32" s="7" t="s">
        <v>33</v>
      </c>
      <c r="F32" s="3"/>
      <c r="G32" s="9" t="str">
        <f>CONCATENATE(C28,": ",C30)</f>
        <v>P1: Heads</v>
      </c>
      <c r="H32" s="8" t="str">
        <f>C32</f>
        <v>1, -1</v>
      </c>
      <c r="I32" s="8" t="str">
        <f>D32</f>
        <v>-1, 1</v>
      </c>
    </row>
    <row r="33" spans="2:10" x14ac:dyDescent="0.3">
      <c r="B33" s="17"/>
      <c r="C33" s="7" t="s">
        <v>33</v>
      </c>
      <c r="D33" s="7" t="s">
        <v>34</v>
      </c>
      <c r="F33" s="3"/>
      <c r="G33" s="9" t="str">
        <f>CONCATENATE(C28,": ",D30)</f>
        <v>P1: Tails</v>
      </c>
      <c r="H33" s="8" t="str">
        <f>C33</f>
        <v>-1, 1</v>
      </c>
      <c r="I33" s="8" t="str">
        <f>D33</f>
        <v>1, -1</v>
      </c>
    </row>
    <row r="34" spans="2:10" x14ac:dyDescent="0.3"/>
    <row r="35" spans="2:10" x14ac:dyDescent="0.3">
      <c r="B35" s="11" t="s">
        <v>35</v>
      </c>
      <c r="C35" s="11"/>
      <c r="D35" s="11"/>
      <c r="E35" s="11"/>
    </row>
    <row r="36" spans="2:10" x14ac:dyDescent="0.3">
      <c r="B36" s="17" t="s">
        <v>1</v>
      </c>
      <c r="C36" s="18" t="s">
        <v>29</v>
      </c>
      <c r="D36" s="18"/>
      <c r="E36" s="18"/>
      <c r="F36" s="3"/>
    </row>
    <row r="37" spans="2:10" x14ac:dyDescent="0.3">
      <c r="B37" s="17"/>
      <c r="C37" s="18" t="s">
        <v>30</v>
      </c>
      <c r="D37" s="18"/>
      <c r="E37" s="18"/>
      <c r="F37" s="3"/>
    </row>
    <row r="38" spans="2:10" x14ac:dyDescent="0.3">
      <c r="B38" s="17" t="s">
        <v>2</v>
      </c>
      <c r="C38" s="5" t="s">
        <v>36</v>
      </c>
      <c r="D38" s="5" t="s">
        <v>37</v>
      </c>
      <c r="E38" s="5" t="s">
        <v>38</v>
      </c>
      <c r="F38" s="3"/>
    </row>
    <row r="39" spans="2:10" x14ac:dyDescent="0.3">
      <c r="B39" s="17"/>
      <c r="C39" s="5" t="s">
        <v>36</v>
      </c>
      <c r="D39" s="5" t="s">
        <v>37</v>
      </c>
      <c r="E39" s="5" t="s">
        <v>38</v>
      </c>
      <c r="F39" s="3"/>
      <c r="G39" s="2"/>
      <c r="H39" s="9" t="str">
        <f>CONCATENATE(C37,": ",C39)</f>
        <v>P2: Rock</v>
      </c>
      <c r="I39" s="9" t="str">
        <f>CONCATENATE(C37,": ",D39)</f>
        <v>P2: Paper</v>
      </c>
      <c r="J39" s="9" t="str">
        <f>CONCATENATE(C37,": ",E39)</f>
        <v>P2: Scissors</v>
      </c>
    </row>
    <row r="40" spans="2:10" x14ac:dyDescent="0.3">
      <c r="B40" s="16" t="s">
        <v>7</v>
      </c>
      <c r="C40" s="7" t="s">
        <v>26</v>
      </c>
      <c r="D40" s="7" t="s">
        <v>33</v>
      </c>
      <c r="E40" s="7" t="s">
        <v>34</v>
      </c>
      <c r="F40" s="3"/>
      <c r="G40" s="9" t="str">
        <f>CONCATENATE(C36,": ",C38)</f>
        <v>P1: Rock</v>
      </c>
      <c r="H40" s="8" t="str">
        <f>C40</f>
        <v>0, 0</v>
      </c>
      <c r="I40" s="8" t="str">
        <f t="shared" ref="I40:J42" si="0">D40</f>
        <v>-1, 1</v>
      </c>
      <c r="J40" s="8" t="str">
        <f t="shared" si="0"/>
        <v>1, -1</v>
      </c>
    </row>
    <row r="41" spans="2:10" x14ac:dyDescent="0.3">
      <c r="B41" s="16"/>
      <c r="C41" s="7" t="s">
        <v>34</v>
      </c>
      <c r="D41" s="7" t="s">
        <v>26</v>
      </c>
      <c r="E41" s="7" t="s">
        <v>33</v>
      </c>
      <c r="F41" s="3"/>
      <c r="G41" s="9" t="str">
        <f>CONCATENATE(C36,": ",D38)</f>
        <v>P1: Paper</v>
      </c>
      <c r="H41" s="8" t="str">
        <f t="shared" ref="H41:H42" si="1">C41</f>
        <v>1, -1</v>
      </c>
      <c r="I41" s="8" t="str">
        <f t="shared" si="0"/>
        <v>0, 0</v>
      </c>
      <c r="J41" s="8" t="str">
        <f t="shared" si="0"/>
        <v>-1, 1</v>
      </c>
    </row>
    <row r="42" spans="2:10" x14ac:dyDescent="0.3">
      <c r="B42" s="17"/>
      <c r="C42" s="7" t="s">
        <v>33</v>
      </c>
      <c r="D42" s="7" t="s">
        <v>34</v>
      </c>
      <c r="E42" s="7" t="s">
        <v>26</v>
      </c>
      <c r="F42" s="3"/>
      <c r="G42" s="9" t="str">
        <f>CONCATENATE(C36,": ",E38)</f>
        <v>P1: Scissors</v>
      </c>
      <c r="H42" s="8" t="str">
        <f t="shared" si="1"/>
        <v>-1, 1</v>
      </c>
      <c r="I42" s="8" t="str">
        <f t="shared" si="0"/>
        <v>1, -1</v>
      </c>
      <c r="J42" s="8" t="str">
        <f t="shared" si="0"/>
        <v>0, 0</v>
      </c>
    </row>
    <row r="43" spans="2:10" x14ac:dyDescent="0.3"/>
    <row r="44" spans="2:10" x14ac:dyDescent="0.3">
      <c r="B44" s="11" t="s">
        <v>39</v>
      </c>
      <c r="C44" s="11"/>
      <c r="D44" s="11"/>
    </row>
    <row r="45" spans="2:10" x14ac:dyDescent="0.3">
      <c r="B45" s="12" t="s">
        <v>1</v>
      </c>
      <c r="C45" s="14" t="s">
        <v>40</v>
      </c>
      <c r="D45" s="15"/>
      <c r="F45" s="3"/>
    </row>
    <row r="46" spans="2:10" x14ac:dyDescent="0.3">
      <c r="B46" s="13"/>
      <c r="C46" s="14" t="s">
        <v>41</v>
      </c>
      <c r="D46" s="15"/>
      <c r="F46" s="3"/>
    </row>
    <row r="47" spans="2:10" x14ac:dyDescent="0.3">
      <c r="B47" s="12" t="s">
        <v>2</v>
      </c>
      <c r="C47" s="5" t="s">
        <v>42</v>
      </c>
      <c r="D47" s="5" t="s">
        <v>43</v>
      </c>
      <c r="F47" s="3"/>
      <c r="G47" s="2"/>
      <c r="H47" s="2"/>
      <c r="I47" s="2"/>
    </row>
    <row r="48" spans="2:10" x14ac:dyDescent="0.3">
      <c r="B48" s="13"/>
      <c r="C48" s="5" t="s">
        <v>42</v>
      </c>
      <c r="D48" s="5" t="s">
        <v>43</v>
      </c>
      <c r="F48" s="3"/>
      <c r="G48" s="2"/>
      <c r="H48" s="9" t="str">
        <f>CONCATENATE(C46,": ",C48)</f>
        <v>Husband: LW</v>
      </c>
      <c r="I48" s="9" t="str">
        <f>CONCATENATE(C46,": ",D48)</f>
        <v>Husband: WL</v>
      </c>
    </row>
    <row r="49" spans="2:9" x14ac:dyDescent="0.3">
      <c r="B49" s="16" t="s">
        <v>7</v>
      </c>
      <c r="C49" s="7" t="s">
        <v>44</v>
      </c>
      <c r="D49" s="7" t="s">
        <v>26</v>
      </c>
      <c r="F49" s="3"/>
      <c r="G49" s="9" t="str">
        <f>CONCATENATE(C45,": ",C47)</f>
        <v>Wife: LW</v>
      </c>
      <c r="H49" s="8" t="str">
        <f>C49</f>
        <v>2, 1</v>
      </c>
      <c r="I49" s="8" t="str">
        <f>D49</f>
        <v>0, 0</v>
      </c>
    </row>
    <row r="50" spans="2:9" x14ac:dyDescent="0.3">
      <c r="B50" s="17"/>
      <c r="C50" s="7" t="s">
        <v>26</v>
      </c>
      <c r="D50" s="7" t="s">
        <v>45</v>
      </c>
      <c r="F50" s="3"/>
      <c r="G50" s="9" t="str">
        <f>CONCATENATE(C45,": ",D47)</f>
        <v>Wife: WL</v>
      </c>
      <c r="H50" s="8" t="str">
        <f>C50</f>
        <v>0, 0</v>
      </c>
      <c r="I50" s="8" t="str">
        <f>D50</f>
        <v>1, 2</v>
      </c>
    </row>
    <row r="51" spans="2:9" x14ac:dyDescent="0.3"/>
    <row r="52" spans="2:9" x14ac:dyDescent="0.3">
      <c r="B52" s="11" t="s">
        <v>46</v>
      </c>
      <c r="C52" s="11"/>
      <c r="D52" s="11"/>
    </row>
    <row r="53" spans="2:9" x14ac:dyDescent="0.3">
      <c r="B53" s="12" t="s">
        <v>1</v>
      </c>
      <c r="C53" s="14" t="s">
        <v>47</v>
      </c>
      <c r="D53" s="15"/>
      <c r="F53" s="3"/>
    </row>
    <row r="54" spans="2:9" x14ac:dyDescent="0.3">
      <c r="B54" s="13"/>
      <c r="C54" s="14" t="s">
        <v>48</v>
      </c>
      <c r="D54" s="15"/>
      <c r="F54" s="3"/>
    </row>
    <row r="55" spans="2:9" x14ac:dyDescent="0.3">
      <c r="B55" s="12" t="s">
        <v>2</v>
      </c>
      <c r="C55" s="5" t="s">
        <v>49</v>
      </c>
      <c r="D55" s="5" t="s">
        <v>50</v>
      </c>
      <c r="F55" s="3"/>
      <c r="G55" s="2"/>
      <c r="H55" s="2"/>
      <c r="I55" s="2"/>
    </row>
    <row r="56" spans="2:9" x14ac:dyDescent="0.3">
      <c r="B56" s="13"/>
      <c r="C56" s="5" t="s">
        <v>49</v>
      </c>
      <c r="D56" s="5" t="s">
        <v>50</v>
      </c>
      <c r="F56" s="3"/>
      <c r="G56" s="2"/>
      <c r="H56" s="9" t="str">
        <f>CONCATENATE(C54,": ",C56)</f>
        <v>Hunter 2: Stag</v>
      </c>
      <c r="I56" s="9" t="str">
        <f>CONCATENATE(C54,": ",D56)</f>
        <v>Hunter 2: Hare</v>
      </c>
    </row>
    <row r="57" spans="2:9" x14ac:dyDescent="0.3">
      <c r="B57" s="16" t="s">
        <v>7</v>
      </c>
      <c r="C57" s="7" t="s">
        <v>51</v>
      </c>
      <c r="D57" s="7" t="s">
        <v>52</v>
      </c>
      <c r="F57" s="3"/>
      <c r="G57" s="9" t="str">
        <f>CONCATENATE(C53,": ",C55)</f>
        <v>Hunter 1: Stag</v>
      </c>
      <c r="H57" s="8" t="str">
        <f>C57</f>
        <v>4, 4</v>
      </c>
      <c r="I57" s="8" t="str">
        <f>D57</f>
        <v>0, 3</v>
      </c>
    </row>
    <row r="58" spans="2:9" x14ac:dyDescent="0.3">
      <c r="B58" s="17"/>
      <c r="C58" s="7" t="s">
        <v>53</v>
      </c>
      <c r="D58" s="7" t="s">
        <v>54</v>
      </c>
      <c r="F58" s="3"/>
      <c r="G58" s="9" t="str">
        <f>CONCATENATE(C53,": ",D55)</f>
        <v>Hunter 1: Hare</v>
      </c>
      <c r="H58" s="8" t="str">
        <f>C58</f>
        <v>3, 0</v>
      </c>
      <c r="I58" s="8" t="str">
        <f>D58</f>
        <v>3, 3</v>
      </c>
    </row>
    <row r="59" spans="2:9" x14ac:dyDescent="0.3"/>
    <row r="60" spans="2:9" x14ac:dyDescent="0.3">
      <c r="B60" s="11" t="s">
        <v>55</v>
      </c>
      <c r="C60" s="11"/>
      <c r="D60" s="11"/>
    </row>
    <row r="61" spans="2:9" x14ac:dyDescent="0.3">
      <c r="B61" s="12" t="s">
        <v>1</v>
      </c>
      <c r="C61" s="14" t="s">
        <v>29</v>
      </c>
      <c r="D61" s="15"/>
      <c r="F61" s="3"/>
    </row>
    <row r="62" spans="2:9" x14ac:dyDescent="0.3">
      <c r="B62" s="13"/>
      <c r="C62" s="14" t="s">
        <v>30</v>
      </c>
      <c r="D62" s="15"/>
      <c r="F62" s="3"/>
    </row>
    <row r="63" spans="2:9" x14ac:dyDescent="0.3">
      <c r="B63" s="12" t="s">
        <v>2</v>
      </c>
      <c r="C63" s="5" t="s">
        <v>56</v>
      </c>
      <c r="D63" s="5" t="s">
        <v>57</v>
      </c>
      <c r="F63" s="3"/>
      <c r="G63" s="2"/>
      <c r="H63" s="2"/>
      <c r="I63" s="2"/>
    </row>
    <row r="64" spans="2:9" x14ac:dyDescent="0.3">
      <c r="B64" s="13"/>
      <c r="C64" s="5" t="s">
        <v>58</v>
      </c>
      <c r="D64" s="5" t="s">
        <v>59</v>
      </c>
      <c r="F64" s="3"/>
      <c r="G64" s="2"/>
      <c r="H64" s="9" t="str">
        <f>CONCATENATE(C62,": ",C64)</f>
        <v>P2: L</v>
      </c>
      <c r="I64" s="9" t="str">
        <f>CONCATENATE(C62,": ",D64)</f>
        <v>P2: R</v>
      </c>
    </row>
    <row r="65" spans="2:10" x14ac:dyDescent="0.3">
      <c r="B65" s="16" t="s">
        <v>7</v>
      </c>
      <c r="C65" s="7" t="s">
        <v>60</v>
      </c>
      <c r="D65" s="7" t="s">
        <v>61</v>
      </c>
      <c r="F65" s="3"/>
      <c r="G65" s="9" t="str">
        <f>CONCATENATE(C61,": ",C63)</f>
        <v>P1: T</v>
      </c>
      <c r="H65" s="8" t="str">
        <f>C65</f>
        <v>320, 40</v>
      </c>
      <c r="I65" s="8" t="str">
        <f>D65</f>
        <v>40, 80</v>
      </c>
    </row>
    <row r="66" spans="2:10" x14ac:dyDescent="0.3">
      <c r="B66" s="17"/>
      <c r="C66" s="7" t="s">
        <v>61</v>
      </c>
      <c r="D66" s="7" t="s">
        <v>62</v>
      </c>
      <c r="F66" s="3"/>
      <c r="G66" s="9" t="str">
        <f>CONCATENATE(C61,": ",D63)</f>
        <v>P1: B</v>
      </c>
      <c r="H66" s="8" t="str">
        <f>C66</f>
        <v>40, 80</v>
      </c>
      <c r="I66" s="8" t="str">
        <f>D66</f>
        <v>80, 40</v>
      </c>
    </row>
    <row r="67" spans="2:10" x14ac:dyDescent="0.3"/>
    <row r="68" spans="2:10" x14ac:dyDescent="0.3">
      <c r="B68" s="11" t="s">
        <v>63</v>
      </c>
      <c r="C68" s="11"/>
      <c r="D68" s="11"/>
    </row>
    <row r="69" spans="2:10" x14ac:dyDescent="0.3">
      <c r="B69" s="12" t="s">
        <v>1</v>
      </c>
      <c r="C69" s="14" t="s">
        <v>64</v>
      </c>
      <c r="D69" s="15"/>
      <c r="F69" s="3"/>
    </row>
    <row r="70" spans="2:10" x14ac:dyDescent="0.3">
      <c r="B70" s="13"/>
      <c r="C70" s="14" t="s">
        <v>65</v>
      </c>
      <c r="D70" s="15"/>
      <c r="F70" s="3"/>
    </row>
    <row r="71" spans="2:10" x14ac:dyDescent="0.3">
      <c r="B71" s="12" t="s">
        <v>2</v>
      </c>
      <c r="C71" s="5" t="s">
        <v>66</v>
      </c>
      <c r="D71" s="5" t="s">
        <v>67</v>
      </c>
      <c r="F71" s="3"/>
      <c r="G71" s="2"/>
      <c r="H71" s="2"/>
      <c r="I71" s="2"/>
    </row>
    <row r="72" spans="2:10" x14ac:dyDescent="0.3">
      <c r="B72" s="13"/>
      <c r="C72" s="5" t="s">
        <v>66</v>
      </c>
      <c r="D72" s="5" t="s">
        <v>67</v>
      </c>
      <c r="F72" s="3"/>
      <c r="G72" s="2"/>
      <c r="H72" s="9" t="str">
        <f>CONCATENATE(C70,": ",C72)</f>
        <v>Firm 2: Low-Priced</v>
      </c>
      <c r="I72" s="9" t="str">
        <f>CONCATENATE(C70,": ",D72)</f>
        <v>Firm 2: Upscale</v>
      </c>
    </row>
    <row r="73" spans="2:10" x14ac:dyDescent="0.3">
      <c r="B73" s="16" t="s">
        <v>7</v>
      </c>
      <c r="C73" s="7" t="s">
        <v>68</v>
      </c>
      <c r="D73" s="7" t="s">
        <v>69</v>
      </c>
      <c r="F73" s="3"/>
      <c r="G73" s="9" t="str">
        <f>CONCATENATE(C69,": ",C71)</f>
        <v>Firm 1: Low-Priced</v>
      </c>
      <c r="H73" s="8" t="str">
        <f>C73</f>
        <v>0.48, 0.12</v>
      </c>
      <c r="I73" s="8" t="str">
        <f>D73</f>
        <v>0.60, 0.40</v>
      </c>
    </row>
    <row r="74" spans="2:10" x14ac:dyDescent="0.3">
      <c r="B74" s="17"/>
      <c r="C74" s="7" t="s">
        <v>70</v>
      </c>
      <c r="D74" s="7" t="s">
        <v>71</v>
      </c>
      <c r="F74" s="3"/>
      <c r="G74" s="9" t="str">
        <f>CONCATENATE(C69,": ",D71)</f>
        <v>Firm 1: Upscale</v>
      </c>
      <c r="H74" s="8" t="str">
        <f>C74</f>
        <v>0.40, 0.60</v>
      </c>
      <c r="I74" s="8" t="str">
        <f>D74</f>
        <v>0.32, 0.08</v>
      </c>
    </row>
    <row r="75" spans="2:10" x14ac:dyDescent="0.3"/>
    <row r="76" spans="2:10" x14ac:dyDescent="0.3">
      <c r="B76" s="11" t="s">
        <v>72</v>
      </c>
      <c r="C76" s="11"/>
      <c r="D76" s="11"/>
      <c r="E76" s="11"/>
    </row>
    <row r="77" spans="2:10" x14ac:dyDescent="0.3">
      <c r="B77" s="17" t="s">
        <v>1</v>
      </c>
      <c r="C77" s="18" t="s">
        <v>29</v>
      </c>
      <c r="D77" s="18"/>
      <c r="E77" s="18"/>
      <c r="F77" s="3"/>
    </row>
    <row r="78" spans="2:10" x14ac:dyDescent="0.3">
      <c r="B78" s="17"/>
      <c r="C78" s="18" t="s">
        <v>30</v>
      </c>
      <c r="D78" s="18"/>
      <c r="E78" s="18"/>
      <c r="F78" s="3"/>
    </row>
    <row r="79" spans="2:10" x14ac:dyDescent="0.3">
      <c r="B79" s="17" t="s">
        <v>2</v>
      </c>
      <c r="C79" s="5" t="s">
        <v>73</v>
      </c>
      <c r="D79" s="5" t="s">
        <v>74</v>
      </c>
      <c r="E79" s="5" t="s">
        <v>57</v>
      </c>
      <c r="F79" s="3"/>
    </row>
    <row r="80" spans="2:10" x14ac:dyDescent="0.3">
      <c r="B80" s="17"/>
      <c r="C80" s="5" t="s">
        <v>58</v>
      </c>
      <c r="D80" s="5" t="s">
        <v>17</v>
      </c>
      <c r="E80" s="5" t="s">
        <v>59</v>
      </c>
      <c r="F80" s="3"/>
      <c r="G80" s="2"/>
      <c r="H80" s="9" t="str">
        <f>CONCATENATE(C78,": ",C80)</f>
        <v>P2: L</v>
      </c>
      <c r="I80" s="9" t="str">
        <f>CONCATENATE(C78,": ",D80)</f>
        <v>P2: C</v>
      </c>
      <c r="J80" s="9" t="str">
        <f>CONCATENATE(C78,": ",E80)</f>
        <v>P2: R</v>
      </c>
    </row>
    <row r="81" spans="2:10" x14ac:dyDescent="0.3">
      <c r="B81" s="16" t="s">
        <v>7</v>
      </c>
      <c r="C81" s="7" t="s">
        <v>75</v>
      </c>
      <c r="D81" s="7" t="s">
        <v>52</v>
      </c>
      <c r="E81" s="7" t="s">
        <v>26</v>
      </c>
      <c r="F81" s="3"/>
      <c r="G81" s="9" t="str">
        <f>CONCATENATE(C77,": ",C79)</f>
        <v>P1: U</v>
      </c>
      <c r="H81" s="8" t="str">
        <f>C81</f>
        <v>3, 1</v>
      </c>
      <c r="I81" s="8" t="str">
        <f t="shared" ref="I81:I83" si="2">D81</f>
        <v>0, 3</v>
      </c>
      <c r="J81" s="8" t="str">
        <f t="shared" ref="J81:J83" si="3">E81</f>
        <v>0, 0</v>
      </c>
    </row>
    <row r="82" spans="2:10" x14ac:dyDescent="0.3">
      <c r="B82" s="16"/>
      <c r="C82" s="7" t="s">
        <v>76</v>
      </c>
      <c r="D82" s="7" t="s">
        <v>25</v>
      </c>
      <c r="E82" s="7" t="s">
        <v>77</v>
      </c>
      <c r="F82" s="3"/>
      <c r="G82" s="9" t="str">
        <f>CONCATENATE(C77,": ",D79)</f>
        <v>P1: M</v>
      </c>
      <c r="H82" s="8" t="str">
        <f t="shared" ref="H82:H83" si="4">C82</f>
        <v>1, 5</v>
      </c>
      <c r="I82" s="8" t="str">
        <f t="shared" si="2"/>
        <v>1, 1</v>
      </c>
      <c r="J82" s="8" t="str">
        <f t="shared" si="3"/>
        <v>10, 0</v>
      </c>
    </row>
    <row r="83" spans="2:10" x14ac:dyDescent="0.3">
      <c r="B83" s="17"/>
      <c r="C83" s="7" t="s">
        <v>78</v>
      </c>
      <c r="D83" s="7" t="s">
        <v>79</v>
      </c>
      <c r="E83" s="7" t="s">
        <v>80</v>
      </c>
      <c r="F83" s="3"/>
      <c r="G83" s="9" t="str">
        <f>CONCATENATE(C77,": ",E79)</f>
        <v>P1: B</v>
      </c>
      <c r="H83" s="8" t="str">
        <f t="shared" si="4"/>
        <v>0, 0.5</v>
      </c>
      <c r="I83" s="8" t="str">
        <f t="shared" si="2"/>
        <v>4, 2</v>
      </c>
      <c r="J83" s="8" t="str">
        <f t="shared" si="3"/>
        <v>5, 0</v>
      </c>
    </row>
    <row r="84" spans="2:10" x14ac:dyDescent="0.3"/>
    <row r="85" spans="2:10" x14ac:dyDescent="0.3">
      <c r="B85" s="11" t="s">
        <v>81</v>
      </c>
      <c r="C85" s="11"/>
      <c r="D85" s="11"/>
    </row>
    <row r="86" spans="2:10" x14ac:dyDescent="0.3">
      <c r="B86" s="12" t="s">
        <v>1</v>
      </c>
      <c r="C86" s="14" t="s">
        <v>82</v>
      </c>
      <c r="D86" s="15"/>
      <c r="F86" s="3"/>
    </row>
    <row r="87" spans="2:10" x14ac:dyDescent="0.3">
      <c r="B87" s="13"/>
      <c r="C87" s="14" t="s">
        <v>83</v>
      </c>
      <c r="D87" s="15"/>
      <c r="F87" s="3"/>
    </row>
    <row r="88" spans="2:10" x14ac:dyDescent="0.3">
      <c r="B88" s="12" t="s">
        <v>2</v>
      </c>
      <c r="C88" s="5" t="s">
        <v>84</v>
      </c>
      <c r="D88" s="5" t="s">
        <v>85</v>
      </c>
      <c r="F88" s="3"/>
      <c r="G88" s="2"/>
      <c r="H88" s="2"/>
      <c r="I88" s="2"/>
    </row>
    <row r="89" spans="2:10" x14ac:dyDescent="0.3">
      <c r="B89" s="13"/>
      <c r="C89" s="5" t="s">
        <v>84</v>
      </c>
      <c r="D89" s="5" t="s">
        <v>85</v>
      </c>
      <c r="F89" s="3"/>
      <c r="G89" s="2"/>
      <c r="H89" s="9" t="str">
        <f>CONCATENATE(C87,": ",C89)</f>
        <v>Animal 2: D</v>
      </c>
      <c r="I89" s="9" t="str">
        <f>CONCATENATE(C87,": ",D89)</f>
        <v>Animal 2: H</v>
      </c>
    </row>
    <row r="90" spans="2:10" x14ac:dyDescent="0.3">
      <c r="B90" s="16" t="s">
        <v>7</v>
      </c>
      <c r="C90" s="7" t="s">
        <v>54</v>
      </c>
      <c r="D90" s="7" t="s">
        <v>76</v>
      </c>
      <c r="F90" s="3"/>
      <c r="G90" s="9" t="str">
        <f>CONCATENATE(C86,": ",C88)</f>
        <v>Animal 1: D</v>
      </c>
      <c r="H90" s="8" t="str">
        <f>C90</f>
        <v>3, 3</v>
      </c>
      <c r="I90" s="8" t="str">
        <f>D90</f>
        <v>1, 5</v>
      </c>
    </row>
    <row r="91" spans="2:10" x14ac:dyDescent="0.3">
      <c r="B91" s="17"/>
      <c r="C91" s="7" t="s">
        <v>86</v>
      </c>
      <c r="D91" s="7" t="s">
        <v>26</v>
      </c>
      <c r="F91" s="3"/>
      <c r="G91" s="9" t="str">
        <f>CONCATENATE(C86,": ",D88)</f>
        <v>Animal 1: H</v>
      </c>
      <c r="H91" s="8" t="str">
        <f>C91</f>
        <v>5, 1</v>
      </c>
      <c r="I91" s="8" t="str">
        <f>D91</f>
        <v>0, 0</v>
      </c>
    </row>
    <row r="92" spans="2:10" x14ac:dyDescent="0.3"/>
    <row r="93" spans="2:10" x14ac:dyDescent="0.3">
      <c r="B93" s="11" t="s">
        <v>87</v>
      </c>
      <c r="C93" s="11"/>
      <c r="D93" s="11"/>
    </row>
    <row r="94" spans="2:10" x14ac:dyDescent="0.3">
      <c r="B94" s="12" t="s">
        <v>1</v>
      </c>
      <c r="C94" s="14"/>
      <c r="D94" s="15"/>
      <c r="F94" s="3"/>
    </row>
    <row r="95" spans="2:10" x14ac:dyDescent="0.3">
      <c r="B95" s="13"/>
      <c r="C95" s="14"/>
      <c r="D95" s="15"/>
      <c r="F95" s="3"/>
    </row>
    <row r="96" spans="2:10" x14ac:dyDescent="0.3">
      <c r="B96" s="12" t="s">
        <v>2</v>
      </c>
      <c r="C96" s="5"/>
      <c r="D96" s="5"/>
      <c r="F96" s="3"/>
      <c r="G96" s="2"/>
      <c r="H96" s="2"/>
      <c r="I96" s="2"/>
    </row>
    <row r="97" spans="2:9" x14ac:dyDescent="0.3">
      <c r="B97" s="13"/>
      <c r="C97" s="5"/>
      <c r="D97" s="5"/>
      <c r="F97" s="3"/>
      <c r="G97" s="2"/>
      <c r="H97" s="9" t="str">
        <f>CONCATENATE(C95,": ",C97)</f>
        <v xml:space="preserve">: </v>
      </c>
      <c r="I97" s="9" t="str">
        <f>CONCATENATE(C95,": ",D97)</f>
        <v xml:space="preserve">: </v>
      </c>
    </row>
    <row r="98" spans="2:9" x14ac:dyDescent="0.3">
      <c r="B98" s="16" t="s">
        <v>7</v>
      </c>
      <c r="C98" s="7"/>
      <c r="D98" s="7"/>
      <c r="F98" s="3"/>
      <c r="G98" s="9" t="str">
        <f>CONCATENATE(C94,": ",C96)</f>
        <v xml:space="preserve">: </v>
      </c>
      <c r="H98" s="8">
        <f>C98</f>
        <v>0</v>
      </c>
      <c r="I98" s="8">
        <f>D98</f>
        <v>0</v>
      </c>
    </row>
    <row r="99" spans="2:9" x14ac:dyDescent="0.3">
      <c r="B99" s="17"/>
      <c r="C99" s="7"/>
      <c r="D99" s="7"/>
      <c r="F99" s="3"/>
      <c r="G99" s="9" t="str">
        <f>CONCATENATE(C94,": ",D96)</f>
        <v xml:space="preserve">: </v>
      </c>
      <c r="H99" s="8">
        <f>C99</f>
        <v>0</v>
      </c>
      <c r="I99" s="8">
        <f>D99</f>
        <v>0</v>
      </c>
    </row>
    <row r="100" spans="2:9" x14ac:dyDescent="0.3"/>
    <row r="101" spans="2:9" x14ac:dyDescent="0.3"/>
  </sheetData>
  <mergeCells count="72">
    <mergeCell ref="B98:B99"/>
    <mergeCell ref="B85:D85"/>
    <mergeCell ref="B86:B87"/>
    <mergeCell ref="C86:D86"/>
    <mergeCell ref="C87:D87"/>
    <mergeCell ref="B88:B89"/>
    <mergeCell ref="B90:B91"/>
    <mergeCell ref="B93:D93"/>
    <mergeCell ref="B94:B95"/>
    <mergeCell ref="C94:D94"/>
    <mergeCell ref="C95:D95"/>
    <mergeCell ref="B96:B97"/>
    <mergeCell ref="B79:B80"/>
    <mergeCell ref="C77:E77"/>
    <mergeCell ref="C78:E78"/>
    <mergeCell ref="B81:B83"/>
    <mergeCell ref="B76:E76"/>
    <mergeCell ref="B71:B72"/>
    <mergeCell ref="B73:B74"/>
    <mergeCell ref="B77:B78"/>
    <mergeCell ref="B63:B64"/>
    <mergeCell ref="B65:B66"/>
    <mergeCell ref="B68:D68"/>
    <mergeCell ref="B69:B70"/>
    <mergeCell ref="C69:D69"/>
    <mergeCell ref="C70:D70"/>
    <mergeCell ref="B55:B56"/>
    <mergeCell ref="B57:B58"/>
    <mergeCell ref="B60:D60"/>
    <mergeCell ref="B61:B62"/>
    <mergeCell ref="C61:D61"/>
    <mergeCell ref="C62:D62"/>
    <mergeCell ref="B47:B48"/>
    <mergeCell ref="B49:B50"/>
    <mergeCell ref="B52:D52"/>
    <mergeCell ref="B53:B54"/>
    <mergeCell ref="C53:D53"/>
    <mergeCell ref="C54:D54"/>
    <mergeCell ref="B45:B46"/>
    <mergeCell ref="C45:D45"/>
    <mergeCell ref="C46:D46"/>
    <mergeCell ref="B32:B33"/>
    <mergeCell ref="B36:B37"/>
    <mergeCell ref="B38:B39"/>
    <mergeCell ref="B40:B42"/>
    <mergeCell ref="B35:E35"/>
    <mergeCell ref="C36:E36"/>
    <mergeCell ref="C37:E37"/>
    <mergeCell ref="B44:D44"/>
    <mergeCell ref="B30:B31"/>
    <mergeCell ref="B16:B17"/>
    <mergeCell ref="B19:D19"/>
    <mergeCell ref="B20:B21"/>
    <mergeCell ref="C20:D20"/>
    <mergeCell ref="C21:D21"/>
    <mergeCell ref="B22:B23"/>
    <mergeCell ref="B24:B25"/>
    <mergeCell ref="B27:D27"/>
    <mergeCell ref="B28:B29"/>
    <mergeCell ref="C28:D28"/>
    <mergeCell ref="C29:D29"/>
    <mergeCell ref="B3:D3"/>
    <mergeCell ref="B12:B13"/>
    <mergeCell ref="C12:D12"/>
    <mergeCell ref="C13:D13"/>
    <mergeCell ref="B14:B15"/>
    <mergeCell ref="B4:B5"/>
    <mergeCell ref="C5:D5"/>
    <mergeCell ref="B6:B7"/>
    <mergeCell ref="B11:D11"/>
    <mergeCell ref="B8:B9"/>
    <mergeCell ref="C4:D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D14D3-44BC-4C71-9DAE-84F681775BBA}">
  <dimension ref="A1:D23"/>
  <sheetViews>
    <sheetView workbookViewId="0">
      <selection activeCell="A14" sqref="A14"/>
    </sheetView>
  </sheetViews>
  <sheetFormatPr defaultColWidth="0" defaultRowHeight="14.4" zeroHeight="1" x14ac:dyDescent="0.3"/>
  <cols>
    <col min="1" max="1" width="37.33203125" bestFit="1" customWidth="1"/>
    <col min="2" max="2" width="13.5546875" bestFit="1" customWidth="1"/>
    <col min="3" max="3" width="14.109375" bestFit="1" customWidth="1"/>
    <col min="4" max="4" width="8.88671875" customWidth="1"/>
    <col min="5" max="16384" width="8.88671875" hidden="1"/>
  </cols>
  <sheetData>
    <row r="1" spans="1:3" x14ac:dyDescent="0.3">
      <c r="A1" t="s">
        <v>88</v>
      </c>
      <c r="B1" t="s">
        <v>89</v>
      </c>
      <c r="C1" t="s">
        <v>90</v>
      </c>
    </row>
    <row r="2" spans="1:3" x14ac:dyDescent="0.3">
      <c r="A2" t="s">
        <v>91</v>
      </c>
    </row>
    <row r="3" spans="1:3" x14ac:dyDescent="0.3">
      <c r="A3" t="s">
        <v>92</v>
      </c>
    </row>
    <row r="4" spans="1:3" x14ac:dyDescent="0.3">
      <c r="A4" t="s">
        <v>93</v>
      </c>
    </row>
    <row r="5" spans="1:3" x14ac:dyDescent="0.3">
      <c r="A5" t="s">
        <v>94</v>
      </c>
    </row>
    <row r="6" spans="1:3" x14ac:dyDescent="0.3">
      <c r="A6" t="s">
        <v>95</v>
      </c>
    </row>
    <row r="7" spans="1:3" x14ac:dyDescent="0.3">
      <c r="A7" t="s">
        <v>96</v>
      </c>
    </row>
    <row r="8" spans="1:3" x14ac:dyDescent="0.3">
      <c r="A8" t="s">
        <v>97</v>
      </c>
    </row>
    <row r="9" spans="1:3" x14ac:dyDescent="0.3">
      <c r="A9" t="s">
        <v>98</v>
      </c>
    </row>
    <row r="10" spans="1:3" x14ac:dyDescent="0.3">
      <c r="A10" t="s">
        <v>99</v>
      </c>
    </row>
    <row r="11" spans="1:3" x14ac:dyDescent="0.3">
      <c r="A11" t="s">
        <v>100</v>
      </c>
    </row>
    <row r="12" spans="1:3" x14ac:dyDescent="0.3">
      <c r="A12" t="s">
        <v>101</v>
      </c>
    </row>
    <row r="13" spans="1:3" x14ac:dyDescent="0.3">
      <c r="A13" t="s">
        <v>102</v>
      </c>
    </row>
    <row r="14" spans="1:3" x14ac:dyDescent="0.3">
      <c r="A14" t="s">
        <v>103</v>
      </c>
    </row>
    <row r="15" spans="1:3" x14ac:dyDescent="0.3">
      <c r="A15" t="s">
        <v>104</v>
      </c>
    </row>
    <row r="16" spans="1:3" x14ac:dyDescent="0.3">
      <c r="A16" t="s">
        <v>105</v>
      </c>
    </row>
    <row r="17" spans="1:1" x14ac:dyDescent="0.3">
      <c r="A17" t="s">
        <v>106</v>
      </c>
    </row>
    <row r="18" spans="1:1" x14ac:dyDescent="0.3">
      <c r="A18" t="s">
        <v>107</v>
      </c>
    </row>
    <row r="19" spans="1:1" x14ac:dyDescent="0.3">
      <c r="A19" t="s">
        <v>108</v>
      </c>
    </row>
    <row r="20" spans="1:1" x14ac:dyDescent="0.3">
      <c r="A20" t="s">
        <v>109</v>
      </c>
    </row>
    <row r="21" spans="1:1" x14ac:dyDescent="0.3">
      <c r="A21" t="s">
        <v>110</v>
      </c>
    </row>
    <row r="22" spans="1:1" x14ac:dyDescent="0.3">
      <c r="A22" t="s">
        <v>111</v>
      </c>
    </row>
    <row r="23" spans="1:1" x14ac:dyDescent="0.3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Games</vt:lpstr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rangel avila</dc:creator>
  <cp:lastModifiedBy>João Vítor Fernandes Dias</cp:lastModifiedBy>
  <dcterms:created xsi:type="dcterms:W3CDTF">2025-06-19T12:08:14Z</dcterms:created>
  <dcterms:modified xsi:type="dcterms:W3CDTF">2025-06-20T23:04:00Z</dcterms:modified>
</cp:coreProperties>
</file>